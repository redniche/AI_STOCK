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026" codeName="{4D1C537B-E38A-612A-F078-A93A15B4B7F4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Users\Redniche\Desktop\"/>
    </mc:Choice>
  </mc:AlternateContent>
  <xr:revisionPtr revIDLastSave="0" documentId="13_ncr:1_{0B8E1305-B1AC-4BAE-B9F0-2232C5E74338}" xr6:coauthVersionLast="47" xr6:coauthVersionMax="47" xr10:uidLastSave="{00000000-0000-0000-0000-000000000000}"/>
  <bookViews>
    <workbookView xWindow="-23415" yWindow="0" windowWidth="22560" windowHeight="13725" firstSheet="2" activeTab="2" xr2:uid="{CBF47A55-642C-42A2-9279-C526B8F3AF89}"/>
  </bookViews>
  <sheets>
    <sheet name="해답 보고서 1" sheetId="2" r:id="rId1"/>
    <sheet name="한계값 보고서 1" sheetId="3" r:id="rId2"/>
    <sheet name="Sheet1" sheetId="1" r:id="rId3"/>
    <sheet name="Sheet2" sheetId="6" r:id="rId4"/>
  </sheets>
  <definedNames>
    <definedName name="solver_adj" localSheetId="2" hidden="1">Sheet1!$A$5</definedName>
    <definedName name="solver_cvg" localSheetId="2" hidden="1">0.0001</definedName>
    <definedName name="solver_drv" localSheetId="2" hidden="1">1</definedName>
    <definedName name="solver_eng" localSheetId="2" hidden="1">1</definedName>
    <definedName name="solver_est" localSheetId="2" hidden="1">1</definedName>
    <definedName name="solver_itr" localSheetId="2" hidden="1">2147483647</definedName>
    <definedName name="solver_lhs1" localSheetId="2" hidden="1">Sheet1!$A$5</definedName>
    <definedName name="solver_lhs2" localSheetId="2" hidden="1">Sheet1!$A$5</definedName>
    <definedName name="solver_lhs3" localSheetId="2" hidden="1">Sheet1!$A$7</definedName>
    <definedName name="solver_lhs4" localSheetId="2" hidden="1">Sheet1!$A$7</definedName>
    <definedName name="solver_mip" localSheetId="2" hidden="1">2147483647</definedName>
    <definedName name="solver_mni" localSheetId="2" hidden="1">30</definedName>
    <definedName name="solver_mrt" localSheetId="2" hidden="1">0.5</definedName>
    <definedName name="solver_msl" localSheetId="2" hidden="1">1</definedName>
    <definedName name="solver_neg" localSheetId="2" hidden="1">1</definedName>
    <definedName name="solver_nod" localSheetId="2" hidden="1">2147483647</definedName>
    <definedName name="solver_num" localSheetId="2" hidden="1">2</definedName>
    <definedName name="solver_nwt" localSheetId="2" hidden="1">1</definedName>
    <definedName name="solver_opt" localSheetId="2" hidden="1">Sheet1!#REF!</definedName>
    <definedName name="solver_pre" localSheetId="2" hidden="1">0.000001</definedName>
    <definedName name="solver_rbv" localSheetId="2" hidden="1">2</definedName>
    <definedName name="solver_rel1" localSheetId="2" hidden="1">3</definedName>
    <definedName name="solver_rel2" localSheetId="2" hidden="1">4</definedName>
    <definedName name="solver_rel3" localSheetId="2" hidden="1">3</definedName>
    <definedName name="solver_rel4" localSheetId="2" hidden="1">3</definedName>
    <definedName name="solver_rhs1" localSheetId="2" hidden="1">1</definedName>
    <definedName name="solver_rhs2" localSheetId="2" hidden="1">"정수"</definedName>
    <definedName name="solver_rhs3" localSheetId="2" hidden="1">1</definedName>
    <definedName name="solver_rhs4" localSheetId="2" hidden="1">1</definedName>
    <definedName name="solver_rlx" localSheetId="2" hidden="1">1</definedName>
    <definedName name="solver_rsd" localSheetId="2" hidden="1">10000</definedName>
    <definedName name="solver_scl" localSheetId="2" hidden="1">1</definedName>
    <definedName name="solver_sho" localSheetId="2" hidden="1">2</definedName>
    <definedName name="solver_sho" localSheetId="1" hidden="1">2</definedName>
    <definedName name="solver_ssz" localSheetId="2" hidden="1">10</definedName>
    <definedName name="solver_tim" localSheetId="2" hidden="1">2147483647</definedName>
    <definedName name="solver_tol" localSheetId="2" hidden="1">0.01</definedName>
    <definedName name="solver_typ" localSheetId="2" hidden="1">1</definedName>
    <definedName name="solver_val" localSheetId="2" hidden="1">0</definedName>
    <definedName name="solver_ver" localSheetId="2" hidden="1">3</definedName>
  </definedNames>
  <calcPr calcId="191029"/>
  <fileRecoveryPr repairLoad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4" i="1" l="1"/>
  <c r="A4" i="1"/>
  <c r="I12" i="1"/>
  <c r="I13" i="1"/>
  <c r="A12" i="1"/>
  <c r="F7" i="1"/>
  <c r="B12" i="1"/>
  <c r="F15" i="1"/>
  <c r="A15" i="1"/>
  <c r="C4" i="1" l="1"/>
  <c r="C12" i="1"/>
  <c r="F1" i="1"/>
  <c r="B15" i="1" l="1"/>
  <c r="E15" i="1"/>
  <c r="C15" i="1" l="1"/>
  <c r="E16" i="1"/>
  <c r="F4" i="1"/>
  <c r="E7" i="1"/>
  <c r="F12" i="1"/>
  <c r="B7" i="1"/>
  <c r="C7" i="1" s="1"/>
  <c r="E8" i="1" l="1"/>
  <c r="E2" i="1" s="1"/>
  <c r="C5" i="1" s="1"/>
  <c r="C13" i="1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C2D084EB-8CD2-4C4F-B41C-565A6FF416E1}" keepAlive="1" name="쿼리 - 랭크 캐릭터 통계 (공식 API 연동)" description="통합 문서의 '랭크 캐릭터 통계 (공식 API 연동)' 쿼리에 대한 연결입니다." type="5" refreshedVersion="6" background="1">
    <dbPr connection="Provider=Microsoft.Mashup.OleDb.1;Data Source=$Workbook$;Location=&quot;랭크 캐릭터 통계 (공식 API 연동)&quot;;Extended Properties=&quot;&quot;" command="SELECT * FROM [랭크 캐릭터 통계 (공식 API 연동)]"/>
  </connection>
</connections>
</file>

<file path=xl/sharedStrings.xml><?xml version="1.0" encoding="utf-8"?>
<sst xmlns="http://schemas.openxmlformats.org/spreadsheetml/2006/main" count="91" uniqueCount="63">
  <si>
    <t>이길확률</t>
    <phoneticPr fontId="1" type="noConversion"/>
  </si>
  <si>
    <t>켈리비율</t>
    <phoneticPr fontId="1" type="noConversion"/>
  </si>
  <si>
    <t>내 돈</t>
    <phoneticPr fontId="1" type="noConversion"/>
  </si>
  <si>
    <t>켈리비율 걸 값</t>
    <phoneticPr fontId="1" type="noConversion"/>
  </si>
  <si>
    <t>얻을 수 있는 돈</t>
    <phoneticPr fontId="1" type="noConversion"/>
  </si>
  <si>
    <t>Microsoft Excel 16.0 해답 보고서</t>
  </si>
  <si>
    <t>워크시트 이름: [켈리비율 계산기.xlsx]Sheet1</t>
  </si>
  <si>
    <t>보고서 작성일: 2021-01-09 오전 5:13:32</t>
  </si>
  <si>
    <t>결과: 모든 제한 조건을 만족시키는 해에 수렴했습니다.</t>
  </si>
  <si>
    <t>해 찾기 엔진</t>
  </si>
  <si>
    <t>엔진: GRG 비선형</t>
  </si>
  <si>
    <t>해 찾는 시간: 0.172 초.</t>
  </si>
  <si>
    <t>반복 횟수: 10 부분 문제: 0</t>
  </si>
  <si>
    <t>해 찾기 옵션</t>
  </si>
  <si>
    <t>최대 시간 제한 없음,  반복 횟수 제한 없음, Precision 0.000001</t>
  </si>
  <si>
    <t xml:space="preserve"> 수렴도 0.0001, 모집단 크기 100, 임의 초기값 0, 미분 계수 중앙</t>
  </si>
  <si>
    <t>최대 부분 문제 제한 없음, 최대 정수 해 제한 없음, 정수 허용 한도 1%, 음수 아닌 것으로 가정</t>
  </si>
  <si>
    <t>목표 셀 (최대값)</t>
  </si>
  <si>
    <t>셀</t>
  </si>
  <si>
    <t>이름</t>
  </si>
  <si>
    <t>계산 전의 값</t>
  </si>
  <si>
    <t>계산 값</t>
  </si>
  <si>
    <t>변수 셀</t>
  </si>
  <si>
    <t>정수</t>
  </si>
  <si>
    <t>제한 조건</t>
  </si>
  <si>
    <t>없음</t>
  </si>
  <si>
    <t>$F$6</t>
  </si>
  <si>
    <t>실얻는돈 최대수익켈리비율값</t>
  </si>
  <si>
    <t>$A$5</t>
  </si>
  <si>
    <t>내 돈</t>
  </si>
  <si>
    <t>Contin</t>
  </si>
  <si>
    <t>Microsoft Excel 16.0 한계값 보고서</t>
  </si>
  <si>
    <t>목표 셀</t>
  </si>
  <si>
    <t>값</t>
  </si>
  <si>
    <t>변수</t>
  </si>
  <si>
    <t>하한값</t>
  </si>
  <si>
    <t>한계값</t>
  </si>
  <si>
    <t>결과</t>
  </si>
  <si>
    <t>상한값</t>
  </si>
  <si>
    <t>chanbae15</t>
    <phoneticPr fontId="1" type="noConversion"/>
  </si>
  <si>
    <t>∞ 채널 포인트</t>
    <phoneticPr fontId="1" type="noConversion"/>
  </si>
  <si>
    <t>고점 롱 배당</t>
    <phoneticPr fontId="1" type="noConversion"/>
  </si>
  <si>
    <t>저점 숏 배당</t>
    <phoneticPr fontId="1" type="noConversion"/>
  </si>
  <si>
    <t>예상 고점</t>
    <phoneticPr fontId="1" type="noConversion"/>
  </si>
  <si>
    <t>숏배당 계산부</t>
    <phoneticPr fontId="1" type="noConversion"/>
  </si>
  <si>
    <t>롱배당 계산부</t>
    <phoneticPr fontId="1" type="noConversion"/>
  </si>
  <si>
    <t>예상 저점</t>
    <phoneticPr fontId="1" type="noConversion"/>
  </si>
  <si>
    <t>배율</t>
    <phoneticPr fontId="1" type="noConversion"/>
  </si>
  <si>
    <t>진입가격</t>
    <phoneticPr fontId="1" type="noConversion"/>
  </si>
  <si>
    <t>차액</t>
    <phoneticPr fontId="1" type="noConversion"/>
  </si>
  <si>
    <t>수수료</t>
    <phoneticPr fontId="1" type="noConversion"/>
  </si>
  <si>
    <t>수수료로 잃는돈</t>
    <phoneticPr fontId="1" type="noConversion"/>
  </si>
  <si>
    <t>확률계산을 너무 크게 잡지 마셈</t>
    <phoneticPr fontId="1" type="noConversion"/>
  </si>
  <si>
    <t>시간과 거래량을 잘 보고 판단하셍</t>
    <phoneticPr fontId="1" type="noConversion"/>
  </si>
  <si>
    <t>매수 매도 횟수를 아주 적게하셈</t>
    <phoneticPr fontId="1" type="noConversion"/>
  </si>
  <si>
    <t>1000단위는 1회 2회차에 저항이 아주 심하므로 ***잠깐*** 전환할만함. 5~7퍼 먹는 용도</t>
    <phoneticPr fontId="1" type="noConversion"/>
  </si>
  <si>
    <t>켈리 투자이론</t>
    <phoneticPr fontId="1" type="noConversion"/>
  </si>
  <si>
    <t>자산의 베팅비율 = (수익비*승률) - (손실비 *(1-승률))/(수익비/손실비)</t>
    <phoneticPr fontId="1" type="noConversion"/>
  </si>
  <si>
    <t xml:space="preserve">스탑로스 </t>
    <phoneticPr fontId="1" type="noConversion"/>
  </si>
  <si>
    <t>스탑로스</t>
    <phoneticPr fontId="1" type="noConversion"/>
  </si>
  <si>
    <t>수수료고려-&gt;</t>
    <phoneticPr fontId="1" type="noConversion"/>
  </si>
  <si>
    <t>rsi를 잘 봐라,</t>
    <phoneticPr fontId="1" type="noConversion"/>
  </si>
  <si>
    <t>그리고 rsi를 맹신하지 마라. 익절을 확실하게 하고 잃은 이익을 생각하지 마라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</si>
</sst>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76" formatCode="mm&quot;월&quot;\ dd&quot;일&quot;"/>
    <numFmt numFmtId="177" formatCode="0_ "/>
    <numFmt numFmtId="178" formatCode="0_);[Red]\(0\)"/>
    <numFmt numFmtId="179" formatCode="#,##0.000_ "/>
  </numFmts>
  <fonts count="5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11"/>
      <color indexed="18"/>
      <name val="맑은 고딕"/>
      <family val="2"/>
      <charset val="129"/>
      <scheme val="minor"/>
    </font>
    <font>
      <sz val="11"/>
      <color indexed="18"/>
      <name val="맑은 고딕"/>
      <family val="3"/>
      <charset val="129"/>
      <scheme val="minor"/>
    </font>
  </fonts>
  <fills count="4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  <fill>
      <patternFill patternType="solid">
        <fgColor theme="6" tint="0.39997558519241921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23"/>
      </top>
      <bottom/>
      <diagonal/>
    </border>
    <border>
      <left/>
      <right/>
      <top/>
      <bottom style="medium">
        <color indexed="23"/>
      </bottom>
      <diagonal/>
    </border>
    <border>
      <left/>
      <right/>
      <top style="medium">
        <color indexed="23"/>
      </top>
      <bottom style="medium">
        <color indexed="23"/>
      </bottom>
      <diagonal/>
    </border>
    <border>
      <left/>
      <right/>
      <top style="thin">
        <color indexed="23"/>
      </top>
      <bottom style="medium">
        <color indexed="23"/>
      </bottom>
      <diagonal/>
    </border>
  </borders>
  <cellStyleXfs count="1">
    <xf numFmtId="0" fontId="0" fillId="0" borderId="0">
      <alignment vertical="center"/>
    </xf>
  </cellStyleXfs>
  <cellXfs count="21">
    <xf numFmtId="0" fontId="0" fillId="0" borderId="0" xfId="0">
      <alignment vertical="center"/>
    </xf>
    <xf numFmtId="0" fontId="0" fillId="0" borderId="0" xfId="0" applyNumberFormat="1">
      <alignment vertical="center"/>
    </xf>
    <xf numFmtId="0" fontId="0" fillId="2" borderId="1" xfId="0" applyFill="1" applyBorder="1">
      <alignment vertical="center"/>
    </xf>
    <xf numFmtId="176" fontId="0" fillId="0" borderId="0" xfId="0" applyNumberFormat="1">
      <alignment vertical="center"/>
    </xf>
    <xf numFmtId="0" fontId="2" fillId="0" borderId="0" xfId="0" applyFont="1">
      <alignment vertical="center"/>
    </xf>
    <xf numFmtId="0" fontId="0" fillId="0" borderId="5" xfId="0" applyFill="1" applyBorder="1" applyAlignment="1">
      <alignment vertical="center"/>
    </xf>
    <xf numFmtId="0" fontId="3" fillId="0" borderId="4" xfId="0" applyFont="1" applyFill="1" applyBorder="1" applyAlignment="1">
      <alignment horizontal="center" vertical="center"/>
    </xf>
    <xf numFmtId="0" fontId="0" fillId="0" borderId="5" xfId="0" applyNumberFormat="1" applyFill="1" applyBorder="1" applyAlignment="1">
      <alignment vertical="center"/>
    </xf>
    <xf numFmtId="0" fontId="3" fillId="0" borderId="4" xfId="0" applyFont="1" applyFill="1" applyBorder="1" applyAlignment="1">
      <alignment horizontal="centerContinuous" vertical="center"/>
    </xf>
    <xf numFmtId="0" fontId="3" fillId="0" borderId="2" xfId="0" applyFont="1" applyFill="1" applyBorder="1" applyAlignment="1">
      <alignment horizontal="center" vertical="center"/>
    </xf>
    <xf numFmtId="0" fontId="3" fillId="0" borderId="3" xfId="0" applyFont="1" applyFill="1" applyBorder="1" applyAlignment="1">
      <alignment horizontal="center" vertical="center"/>
    </xf>
    <xf numFmtId="0" fontId="4" fillId="0" borderId="3" xfId="0" applyFont="1" applyFill="1" applyBorder="1" applyAlignment="1">
      <alignment horizontal="center" vertical="center"/>
    </xf>
    <xf numFmtId="0" fontId="0" fillId="0" borderId="0" xfId="0" applyNumberFormat="1" applyFill="1" applyBorder="1">
      <alignment vertical="center"/>
    </xf>
    <xf numFmtId="177" fontId="0" fillId="0" borderId="0" xfId="0" applyNumberFormat="1">
      <alignment vertical="center"/>
    </xf>
    <xf numFmtId="178" fontId="0" fillId="0" borderId="0" xfId="0" applyNumberFormat="1">
      <alignment vertical="center"/>
    </xf>
    <xf numFmtId="3" fontId="0" fillId="0" borderId="0" xfId="0" applyNumberFormat="1">
      <alignment vertical="center"/>
    </xf>
    <xf numFmtId="9" fontId="0" fillId="0" borderId="0" xfId="0" applyNumberFormat="1">
      <alignment vertical="center"/>
    </xf>
    <xf numFmtId="4" fontId="0" fillId="2" borderId="1" xfId="0" applyNumberFormat="1" applyFill="1" applyBorder="1">
      <alignment vertical="center"/>
    </xf>
    <xf numFmtId="0" fontId="0" fillId="3" borderId="1" xfId="0" applyFill="1" applyBorder="1">
      <alignment vertical="center"/>
    </xf>
    <xf numFmtId="179" fontId="0" fillId="0" borderId="0" xfId="0" applyNumberFormat="1">
      <alignment vertical="center"/>
    </xf>
    <xf numFmtId="0" fontId="0" fillId="2" borderId="1" xfId="0" applyNumberFormat="1" applyFill="1" applyBorder="1">
      <alignment vertical="center"/>
    </xf>
  </cellXfs>
  <cellStyles count="1">
    <cellStyle name="표준" xfId="0" builtinId="0"/>
  </cellStyles>
  <dxfs count="4"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openxmlformats.org/officeDocument/2006/relationships/customXml" Target="../customXml/item4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11" Type="http://schemas.openxmlformats.org/officeDocument/2006/relationships/customXml" Target="../customXml/item2.xml"/><Relationship Id="rId5" Type="http://schemas.openxmlformats.org/officeDocument/2006/relationships/theme" Target="theme/theme1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Scroll" dx="22" fmlaLink="$A$5" horiz="1" inc="0" max="100" page="0" val="68"/>
</file>

<file path=xl/ctrlProps/ctrlProp2.xml><?xml version="1.0" encoding="utf-8"?>
<formControlPr xmlns="http://schemas.microsoft.com/office/spreadsheetml/2009/9/main" objectType="Scroll" dx="22" fmlaLink="$A$13" horiz="1" inc="0" max="100" page="0" val="50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</xdr:colOff>
          <xdr:row>4</xdr:row>
          <xdr:rowOff>9525</xdr:rowOff>
        </xdr:from>
        <xdr:to>
          <xdr:col>1</xdr:col>
          <xdr:colOff>0</xdr:colOff>
          <xdr:row>5</xdr:row>
          <xdr:rowOff>9525</xdr:rowOff>
        </xdr:to>
        <xdr:sp macro="" textlink="">
          <xdr:nvSpPr>
            <xdr:cNvPr id="4097" name="Scroll Bar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2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</xdr:row>
          <xdr:rowOff>9525</xdr:rowOff>
        </xdr:from>
        <xdr:to>
          <xdr:col>1</xdr:col>
          <xdr:colOff>0</xdr:colOff>
          <xdr:row>13</xdr:row>
          <xdr:rowOff>0</xdr:rowOff>
        </xdr:to>
        <xdr:sp macro="" textlink="">
          <xdr:nvSpPr>
            <xdr:cNvPr id="4099" name="Scroll Bar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2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609600</xdr:colOff>
      <xdr:row>4</xdr:row>
      <xdr:rowOff>161925</xdr:rowOff>
    </xdr:from>
    <xdr:to>
      <xdr:col>4</xdr:col>
      <xdr:colOff>47625</xdr:colOff>
      <xdr:row>7</xdr:row>
      <xdr:rowOff>104775</xdr:rowOff>
    </xdr:to>
    <xdr:sp macro="[0]!Sheet6.login" textlink="">
      <xdr:nvSpPr>
        <xdr:cNvPr id="2" name="직사각형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1981200" y="1000125"/>
          <a:ext cx="809625" cy="5715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9C82E0-97E7-4DCE-BA31-2E5F05CF514A}">
  <sheetPr codeName="Sheet2"/>
  <dimension ref="A1:G25"/>
  <sheetViews>
    <sheetView showGridLines="0" workbookViewId="0"/>
  </sheetViews>
  <sheetFormatPr defaultRowHeight="16.5" x14ac:dyDescent="0.3"/>
  <cols>
    <col min="1" max="1" width="2.125" customWidth="1"/>
    <col min="2" max="2" width="3.375" bestFit="1" customWidth="1"/>
    <col min="3" max="3" width="28.25" bestFit="1" customWidth="1"/>
    <col min="4" max="5" width="12.75" bestFit="1" customWidth="1"/>
    <col min="6" max="6" width="7.25" bestFit="1" customWidth="1"/>
  </cols>
  <sheetData>
    <row r="1" spans="1:5" x14ac:dyDescent="0.3">
      <c r="A1" s="4" t="s">
        <v>5</v>
      </c>
    </row>
    <row r="2" spans="1:5" x14ac:dyDescent="0.3">
      <c r="A2" s="4" t="s">
        <v>6</v>
      </c>
    </row>
    <row r="3" spans="1:5" x14ac:dyDescent="0.3">
      <c r="A3" s="4" t="s">
        <v>7</v>
      </c>
    </row>
    <row r="4" spans="1:5" x14ac:dyDescent="0.3">
      <c r="A4" s="4" t="s">
        <v>8</v>
      </c>
    </row>
    <row r="5" spans="1:5" x14ac:dyDescent="0.3">
      <c r="A5" s="4" t="s">
        <v>9</v>
      </c>
    </row>
    <row r="6" spans="1:5" x14ac:dyDescent="0.3">
      <c r="A6" s="4"/>
      <c r="B6" t="s">
        <v>10</v>
      </c>
    </row>
    <row r="7" spans="1:5" x14ac:dyDescent="0.3">
      <c r="A7" s="4"/>
      <c r="B7" t="s">
        <v>11</v>
      </c>
    </row>
    <row r="8" spans="1:5" x14ac:dyDescent="0.3">
      <c r="A8" s="4"/>
      <c r="B8" t="s">
        <v>12</v>
      </c>
    </row>
    <row r="9" spans="1:5" x14ac:dyDescent="0.3">
      <c r="A9" s="4" t="s">
        <v>13</v>
      </c>
    </row>
    <row r="10" spans="1:5" x14ac:dyDescent="0.3">
      <c r="B10" t="s">
        <v>14</v>
      </c>
    </row>
    <row r="11" spans="1:5" x14ac:dyDescent="0.3">
      <c r="B11" t="s">
        <v>15</v>
      </c>
    </row>
    <row r="12" spans="1:5" x14ac:dyDescent="0.3">
      <c r="B12" t="s">
        <v>16</v>
      </c>
    </row>
    <row r="14" spans="1:5" ht="17.25" thickBot="1" x14ac:dyDescent="0.35">
      <c r="A14" t="s">
        <v>17</v>
      </c>
    </row>
    <row r="15" spans="1:5" ht="17.25" thickBot="1" x14ac:dyDescent="0.35">
      <c r="B15" s="6" t="s">
        <v>18</v>
      </c>
      <c r="C15" s="6" t="s">
        <v>19</v>
      </c>
      <c r="D15" s="6" t="s">
        <v>20</v>
      </c>
      <c r="E15" s="6" t="s">
        <v>21</v>
      </c>
    </row>
    <row r="16" spans="1:5" ht="17.25" thickBot="1" x14ac:dyDescent="0.35">
      <c r="B16" s="5" t="s">
        <v>26</v>
      </c>
      <c r="C16" s="5" t="s">
        <v>27</v>
      </c>
      <c r="D16" s="7">
        <v>1033.8461538461434</v>
      </c>
      <c r="E16" s="7">
        <v>1041.9714590219246</v>
      </c>
    </row>
    <row r="19" spans="1:7" ht="17.25" thickBot="1" x14ac:dyDescent="0.35">
      <c r="A19" t="s">
        <v>22</v>
      </c>
    </row>
    <row r="20" spans="1:7" ht="17.25" thickBot="1" x14ac:dyDescent="0.35">
      <c r="B20" s="6" t="s">
        <v>18</v>
      </c>
      <c r="C20" s="6" t="s">
        <v>19</v>
      </c>
      <c r="D20" s="6" t="s">
        <v>20</v>
      </c>
      <c r="E20" s="6" t="s">
        <v>21</v>
      </c>
      <c r="F20" s="6" t="s">
        <v>23</v>
      </c>
    </row>
    <row r="21" spans="1:7" ht="17.25" thickBot="1" x14ac:dyDescent="0.35">
      <c r="B21" s="5" t="s">
        <v>28</v>
      </c>
      <c r="C21" s="5" t="s">
        <v>29</v>
      </c>
      <c r="D21" s="7">
        <v>10000</v>
      </c>
      <c r="E21" s="7">
        <v>9991.8746948242188</v>
      </c>
      <c r="F21" s="5" t="s">
        <v>30</v>
      </c>
    </row>
    <row r="24" spans="1:7" ht="17.25" thickBot="1" x14ac:dyDescent="0.35">
      <c r="A24" t="s">
        <v>24</v>
      </c>
    </row>
    <row r="25" spans="1:7" ht="17.25" thickBot="1" x14ac:dyDescent="0.35">
      <c r="B25" s="8" t="s">
        <v>25</v>
      </c>
      <c r="C25" s="8"/>
      <c r="D25" s="8"/>
      <c r="E25" s="8"/>
      <c r="F25" s="8"/>
      <c r="G25" s="8"/>
    </row>
  </sheetData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31DB41-3BEA-4306-AA39-1366DB7384B8}">
  <sheetPr codeName="Sheet3"/>
  <dimension ref="A1:J13"/>
  <sheetViews>
    <sheetView showGridLines="0" workbookViewId="0">
      <selection sqref="A1:A3"/>
    </sheetView>
  </sheetViews>
  <sheetFormatPr defaultRowHeight="16.5" x14ac:dyDescent="0.3"/>
  <cols>
    <col min="1" max="1" width="2.125" customWidth="1"/>
    <col min="2" max="2" width="3.375" bestFit="1" customWidth="1"/>
    <col min="3" max="3" width="5.25" bestFit="1" customWidth="1"/>
    <col min="4" max="4" width="5.5" bestFit="1" customWidth="1"/>
    <col min="5" max="5" width="2.125" customWidth="1"/>
    <col min="6" max="6" width="7.125" bestFit="1" customWidth="1"/>
    <col min="7" max="7" width="8" bestFit="1" customWidth="1"/>
    <col min="8" max="8" width="2.125" customWidth="1"/>
    <col min="9" max="9" width="7.125" bestFit="1" customWidth="1"/>
    <col min="10" max="10" width="7.75" bestFit="1" customWidth="1"/>
  </cols>
  <sheetData>
    <row r="1" spans="1:10" x14ac:dyDescent="0.3">
      <c r="A1" s="4" t="s">
        <v>31</v>
      </c>
    </row>
    <row r="2" spans="1:10" x14ac:dyDescent="0.3">
      <c r="A2" s="4" t="s">
        <v>6</v>
      </c>
    </row>
    <row r="3" spans="1:10" x14ac:dyDescent="0.3">
      <c r="A3" s="4" t="s">
        <v>7</v>
      </c>
    </row>
    <row r="5" spans="1:10" ht="17.25" thickBot="1" x14ac:dyDescent="0.35"/>
    <row r="6" spans="1:10" x14ac:dyDescent="0.3">
      <c r="B6" s="9"/>
      <c r="C6" s="9" t="s">
        <v>32</v>
      </c>
      <c r="D6" s="9"/>
    </row>
    <row r="7" spans="1:10" ht="17.25" thickBot="1" x14ac:dyDescent="0.35">
      <c r="B7" s="10" t="s">
        <v>18</v>
      </c>
      <c r="C7" s="11" t="s">
        <v>19</v>
      </c>
      <c r="D7" s="10" t="s">
        <v>33</v>
      </c>
    </row>
    <row r="8" spans="1:10" ht="17.25" thickBot="1" x14ac:dyDescent="0.35">
      <c r="B8" s="5" t="s">
        <v>26</v>
      </c>
      <c r="C8" s="5" t="s">
        <v>27</v>
      </c>
      <c r="D8" s="7">
        <v>1041.9714590219246</v>
      </c>
    </row>
    <row r="10" spans="1:10" ht="17.25" thickBot="1" x14ac:dyDescent="0.35"/>
    <row r="11" spans="1:10" x14ac:dyDescent="0.3">
      <c r="B11" s="9"/>
      <c r="C11" s="9" t="s">
        <v>34</v>
      </c>
      <c r="D11" s="9"/>
      <c r="F11" s="9" t="s">
        <v>35</v>
      </c>
      <c r="G11" s="9" t="s">
        <v>32</v>
      </c>
      <c r="I11" s="9" t="s">
        <v>38</v>
      </c>
      <c r="J11" s="9" t="s">
        <v>32</v>
      </c>
    </row>
    <row r="12" spans="1:10" ht="17.25" thickBot="1" x14ac:dyDescent="0.35">
      <c r="B12" s="10" t="s">
        <v>18</v>
      </c>
      <c r="C12" s="11" t="s">
        <v>19</v>
      </c>
      <c r="D12" s="10" t="s">
        <v>33</v>
      </c>
      <c r="F12" s="11" t="s">
        <v>36</v>
      </c>
      <c r="G12" s="11" t="s">
        <v>37</v>
      </c>
      <c r="I12" s="11" t="s">
        <v>36</v>
      </c>
      <c r="J12" s="11" t="s">
        <v>37</v>
      </c>
    </row>
    <row r="13" spans="1:10" ht="17.25" thickBot="1" x14ac:dyDescent="0.35">
      <c r="B13" s="5" t="s">
        <v>28</v>
      </c>
      <c r="C13" s="5" t="s">
        <v>29</v>
      </c>
      <c r="D13" s="7">
        <v>9991.8746948242188</v>
      </c>
      <c r="F13" s="7">
        <v>0</v>
      </c>
      <c r="G13" s="7" t="e">
        <v>#DIV/0!</v>
      </c>
      <c r="I13" s="5" t="e">
        <v>#N/A</v>
      </c>
      <c r="J13" s="5" t="e">
        <v>#N/A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D2D34D-9A3C-4216-8854-60D3D722573C}">
  <sheetPr codeName="Sheet1"/>
  <dimension ref="A1:I25"/>
  <sheetViews>
    <sheetView tabSelected="1" workbookViewId="0">
      <selection activeCell="K20" sqref="K20"/>
    </sheetView>
  </sheetViews>
  <sheetFormatPr defaultRowHeight="16.5" x14ac:dyDescent="0.3"/>
  <cols>
    <col min="1" max="1" width="17.25" bestFit="1" customWidth="1"/>
    <col min="2" max="2" width="29" bestFit="1" customWidth="1"/>
    <col min="3" max="3" width="15.125" bestFit="1" customWidth="1"/>
    <col min="4" max="4" width="12.75" bestFit="1" customWidth="1"/>
    <col min="5" max="5" width="17.125" customWidth="1"/>
    <col min="6" max="6" width="19.25" bestFit="1" customWidth="1"/>
    <col min="7" max="7" width="12.75" bestFit="1" customWidth="1"/>
    <col min="9" max="9" width="12.75" bestFit="1" customWidth="1"/>
    <col min="10" max="10" width="15" customWidth="1"/>
  </cols>
  <sheetData>
    <row r="1" spans="1:9" x14ac:dyDescent="0.3">
      <c r="A1" t="s">
        <v>47</v>
      </c>
      <c r="B1" s="2">
        <v>10</v>
      </c>
      <c r="F1">
        <f>(A4*((B4-1)+1)-1)/(B4-1)</f>
        <v>0.97906542056074763</v>
      </c>
    </row>
    <row r="2" spans="1:9" x14ac:dyDescent="0.3">
      <c r="A2" t="s">
        <v>48</v>
      </c>
      <c r="B2" s="17">
        <v>32000</v>
      </c>
      <c r="C2" t="s">
        <v>58</v>
      </c>
      <c r="D2" s="20">
        <v>2.5000000000000001E-2</v>
      </c>
      <c r="E2" s="19">
        <f>1-(1-D2)*E8</f>
        <v>2.9266819072501726E-2</v>
      </c>
    </row>
    <row r="3" spans="1:9" x14ac:dyDescent="0.3">
      <c r="A3" t="s">
        <v>0</v>
      </c>
      <c r="B3" t="s">
        <v>41</v>
      </c>
      <c r="C3" t="s">
        <v>1</v>
      </c>
      <c r="D3" t="s">
        <v>45</v>
      </c>
      <c r="E3" t="s">
        <v>43</v>
      </c>
      <c r="F3" t="s">
        <v>49</v>
      </c>
      <c r="G3" t="s">
        <v>50</v>
      </c>
    </row>
    <row r="4" spans="1:9" x14ac:dyDescent="0.3">
      <c r="A4" s="2">
        <f>A5/100</f>
        <v>0.68</v>
      </c>
      <c r="B4">
        <f>ROUNDDOWN((E4/$B$2-1)*$B$1+1,2)-1</f>
        <v>-6.9999999999999951E-2</v>
      </c>
      <c r="C4" s="16">
        <f>A4-(1-A4)/(B4/D2)</f>
        <v>0.79428571428571437</v>
      </c>
      <c r="E4" s="2">
        <v>31800</v>
      </c>
      <c r="F4">
        <f>ROUNDDOWN((E4/$B$2*C4*A7*$B$1*(1-$G$4)-C4*A7*$B$1*(1-$G$4)+C4*A7)*(1-$G$4)-C4*A7, 2)</f>
        <v>-0.96</v>
      </c>
      <c r="G4" s="18">
        <v>4.0000000000000002E-4</v>
      </c>
    </row>
    <row r="5" spans="1:9" x14ac:dyDescent="0.3">
      <c r="A5">
        <v>68</v>
      </c>
      <c r="B5" t="s">
        <v>60</v>
      </c>
      <c r="C5" s="16">
        <f>A4-(1-A4)/(B4/E2)</f>
        <v>0.81379117290286518</v>
      </c>
      <c r="D5" s="3"/>
    </row>
    <row r="6" spans="1:9" x14ac:dyDescent="0.3">
      <c r="A6" t="s">
        <v>2</v>
      </c>
      <c r="B6" t="s">
        <v>3</v>
      </c>
      <c r="C6" t="s">
        <v>4</v>
      </c>
      <c r="E6" s="3" t="s">
        <v>51</v>
      </c>
      <c r="F6" t="s">
        <v>59</v>
      </c>
      <c r="I6" s="15"/>
    </row>
    <row r="7" spans="1:9" x14ac:dyDescent="0.3">
      <c r="A7" s="2">
        <v>19.28</v>
      </c>
      <c r="B7" s="1">
        <f>ROUNDDOWN(A7*C4,2)</f>
        <v>15.31</v>
      </c>
      <c r="C7">
        <f>ROUNDDOWN(B4*B7,2)+1-B7</f>
        <v>-15.38</v>
      </c>
      <c r="D7" s="3"/>
      <c r="E7">
        <f>ROUNDUP((E4/$B$2*C4*A7*$B$1*(1-$G$4)-C4*A7*$B$1*(1-$G$4)+C4*A7)*($G$4)+C4*A7*$B$1*($G$4),4)</f>
        <v>6.7000000000000004E-2</v>
      </c>
      <c r="F7">
        <f>ROUNDDOWN($B$2*(1-$D$2/$B$1),2)</f>
        <v>31920</v>
      </c>
      <c r="G7" s="1"/>
    </row>
    <row r="8" spans="1:9" x14ac:dyDescent="0.3">
      <c r="A8" s="1"/>
      <c r="D8" s="3"/>
      <c r="E8">
        <f>(B7-E7)/B7</f>
        <v>0.9956237753102547</v>
      </c>
    </row>
    <row r="9" spans="1:9" x14ac:dyDescent="0.3">
      <c r="A9" s="12"/>
      <c r="B9" s="12"/>
      <c r="C9" s="12"/>
      <c r="D9" s="3"/>
    </row>
    <row r="10" spans="1:9" x14ac:dyDescent="0.3">
      <c r="B10" s="1"/>
      <c r="D10" s="1"/>
    </row>
    <row r="11" spans="1:9" x14ac:dyDescent="0.3">
      <c r="A11" t="s">
        <v>0</v>
      </c>
      <c r="B11" t="s">
        <v>42</v>
      </c>
      <c r="C11" t="s">
        <v>1</v>
      </c>
      <c r="D11" s="3" t="s">
        <v>44</v>
      </c>
      <c r="E11" t="s">
        <v>46</v>
      </c>
      <c r="F11" t="s">
        <v>49</v>
      </c>
    </row>
    <row r="12" spans="1:9" x14ac:dyDescent="0.3">
      <c r="A12" s="2">
        <f>A13/100</f>
        <v>0.5</v>
      </c>
      <c r="B12">
        <f>ROUNDDOWN(($B$2/E12-1)*$B$1+1,2)-1</f>
        <v>6.0000000000000053E-2</v>
      </c>
      <c r="C12" s="16">
        <f>A12-(1-A12)/(B12/D2)</f>
        <v>0.29166666666666685</v>
      </c>
      <c r="E12" s="2">
        <v>31800</v>
      </c>
      <c r="F12">
        <f>_xlfn.FLOOR.MATH(($B$2/E12*C4*A15*$B$1*(1-$G$4)-C4*A15*$B$1*(1-$G$4)+C4*A15)*(1-$G$4)-C4*A15, 0.01)</f>
        <v>0.95000000000000007</v>
      </c>
      <c r="I12">
        <f>(20.63-1.24)/20.63</f>
        <v>0.93989335918565209</v>
      </c>
    </row>
    <row r="13" spans="1:9" x14ac:dyDescent="0.3">
      <c r="A13">
        <v>50</v>
      </c>
      <c r="B13" t="s">
        <v>60</v>
      </c>
      <c r="C13" s="16">
        <f>A12-(1-A12)/(B12/E2)</f>
        <v>0.2561098410624858</v>
      </c>
      <c r="I13">
        <f>1-I12</f>
        <v>6.0106640814347911E-2</v>
      </c>
    </row>
    <row r="14" spans="1:9" x14ac:dyDescent="0.3">
      <c r="A14" t="s">
        <v>2</v>
      </c>
      <c r="B14" t="s">
        <v>3</v>
      </c>
      <c r="C14" t="s">
        <v>4</v>
      </c>
      <c r="E14" s="3" t="s">
        <v>51</v>
      </c>
      <c r="F14" t="s">
        <v>59</v>
      </c>
    </row>
    <row r="15" spans="1:9" x14ac:dyDescent="0.3">
      <c r="A15">
        <f>A7</f>
        <v>19.28</v>
      </c>
      <c r="B15" s="1">
        <f>ROUNDDOWN(A15*C12,2)</f>
        <v>5.62</v>
      </c>
      <c r="C15">
        <f>INT(B12*B15)+1-B15</f>
        <v>-4.62</v>
      </c>
      <c r="E15">
        <f>ROUNDUP((E12/$B$2*C12*A15*$B$1*(1-$G$4)-C12*A15*$B$1*(1-$G$4)+C12*A15)*($G$4)+C12*A15*$B$1*($G$4),2)</f>
        <v>0.03</v>
      </c>
      <c r="F15">
        <f>ROUNDDOWN($B$2*(1+$D$2/$B$1),2)</f>
        <v>32080</v>
      </c>
    </row>
    <row r="16" spans="1:9" x14ac:dyDescent="0.3">
      <c r="E16">
        <f>(B15-E15)/B15</f>
        <v>0.99466192170818502</v>
      </c>
    </row>
    <row r="17" spans="1:3" x14ac:dyDescent="0.3">
      <c r="B17" s="1"/>
    </row>
    <row r="19" spans="1:3" x14ac:dyDescent="0.3">
      <c r="A19" t="s">
        <v>54</v>
      </c>
      <c r="C19" t="s">
        <v>56</v>
      </c>
    </row>
    <row r="20" spans="1:3" x14ac:dyDescent="0.3">
      <c r="C20" t="s">
        <v>57</v>
      </c>
    </row>
    <row r="22" spans="1:3" x14ac:dyDescent="0.3">
      <c r="A22" t="s">
        <v>52</v>
      </c>
    </row>
    <row r="23" spans="1:3" x14ac:dyDescent="0.3">
      <c r="A23" t="s">
        <v>53</v>
      </c>
    </row>
    <row r="24" spans="1:3" x14ac:dyDescent="0.3">
      <c r="A24" t="s">
        <v>55</v>
      </c>
    </row>
    <row r="25" spans="1:3" x14ac:dyDescent="0.3">
      <c r="A25" t="s">
        <v>61</v>
      </c>
      <c r="B25" t="s">
        <v>62</v>
      </c>
    </row>
  </sheetData>
  <phoneticPr fontId="1" type="noConversion"/>
  <conditionalFormatting sqref="C4">
    <cfRule type="cellIs" dxfId="3" priority="7" operator="lessThan">
      <formula>0</formula>
    </cfRule>
  </conditionalFormatting>
  <conditionalFormatting sqref="C12">
    <cfRule type="cellIs" dxfId="2" priority="5" operator="lessThan">
      <formula>0</formula>
    </cfRule>
  </conditionalFormatting>
  <conditionalFormatting sqref="C5">
    <cfRule type="cellIs" dxfId="1" priority="3" operator="lessThan">
      <formula>0</formula>
    </cfRule>
  </conditionalFormatting>
  <conditionalFormatting sqref="C13">
    <cfRule type="cellIs" dxfId="0" priority="1" operator="lessThan">
      <formula>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Scroll Bar 1">
              <controlPr defaultSize="0" autoPict="0">
                <anchor moveWithCells="1">
                  <from>
                    <xdr:col>0</xdr:col>
                    <xdr:colOff>19050</xdr:colOff>
                    <xdr:row>4</xdr:row>
                    <xdr:rowOff>9525</xdr:rowOff>
                  </from>
                  <to>
                    <xdr:col>1</xdr:col>
                    <xdr:colOff>0</xdr:colOff>
                    <xdr:row>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5" name="Scroll Bar 3">
              <controlPr defaultSize="0" autoPict="0">
                <anchor moveWithCells="1">
                  <from>
                    <xdr:col>0</xdr:col>
                    <xdr:colOff>0</xdr:colOff>
                    <xdr:row>12</xdr:row>
                    <xdr:rowOff>9525</xdr:rowOff>
                  </from>
                  <to>
                    <xdr:col>1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61AF26-63BC-4BCF-B852-FA8717AB49D4}">
  <sheetPr codeName="Sheet6"/>
  <dimension ref="A1:K5"/>
  <sheetViews>
    <sheetView workbookViewId="0">
      <selection activeCell="R15" sqref="R15"/>
    </sheetView>
  </sheetViews>
  <sheetFormatPr defaultRowHeight="16.5" x14ac:dyDescent="0.3"/>
  <cols>
    <col min="1" max="1" width="18.375" bestFit="1" customWidth="1"/>
    <col min="11" max="11" width="11.75" bestFit="1" customWidth="1"/>
  </cols>
  <sheetData>
    <row r="1" spans="1:11" x14ac:dyDescent="0.3">
      <c r="A1" s="13"/>
      <c r="B1" t="s">
        <v>39</v>
      </c>
    </row>
    <row r="2" spans="1:11" x14ac:dyDescent="0.3">
      <c r="A2" t="s">
        <v>40</v>
      </c>
    </row>
    <row r="3" spans="1:11" x14ac:dyDescent="0.3">
      <c r="A3" s="13"/>
    </row>
    <row r="5" spans="1:11" x14ac:dyDescent="0.3">
      <c r="K5" s="14">
        <v>7.6388888888888895E-2</v>
      </c>
    </row>
  </sheetData>
  <phoneticPr fontId="1" type="noConversion"/>
  <pageMargins left="0.7" right="0.7" top="0.75" bottom="0.75" header="0.3" footer="0.3"/>
  <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�� 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문서" ma:contentTypeID="0x01010080F6E81E16853C408C8E5AE57EFB110B" ma:contentTypeVersion="10" ma:contentTypeDescription="새 문서를 만듭니다." ma:contentTypeScope="" ma:versionID="984fc95a1b17bb38c53900be161f905f">
  <xsd:schema xmlns:xsd="http://www.w3.org/2001/XMLSchema" xmlns:xs="http://www.w3.org/2001/XMLSchema" xmlns:p="http://schemas.microsoft.com/office/2006/metadata/properties" xmlns:ns3="08beb39c-d47e-459b-8a94-037c880b1aac" xmlns:ns4="64985304-bb04-4dd0-a6a0-67769ccc94cc" targetNamespace="http://schemas.microsoft.com/office/2006/metadata/properties" ma:root="true" ma:fieldsID="9c3cdbd840269fb6f7a16dc8ec7681c6" ns3:_="" ns4:_="">
    <xsd:import namespace="08beb39c-d47e-459b-8a94-037c880b1aac"/>
    <xsd:import namespace="64985304-bb04-4dd0-a6a0-67769ccc94cc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4:SharedWithUsers" minOccurs="0"/>
                <xsd:element ref="ns4:SharedWithDetails" minOccurs="0"/>
                <xsd:element ref="ns4:SharingHintHash" minOccurs="0"/>
                <xsd:element ref="ns3:MediaServiceAutoTags" minOccurs="0"/>
                <xsd:element ref="ns3:MediaServiceOCR" minOccurs="0"/>
                <xsd:element ref="ns3:MediaServiceGenerationTime" minOccurs="0"/>
                <xsd:element ref="ns3:MediaServiceEventHashCode" minOccurs="0"/>
                <xsd:element ref="ns3:MediaServiceDateTake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8beb39c-d47e-459b-8a94-037c880b1aac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3" nillable="true" ma:displayName="Tags" ma:internalName="MediaServiceAutoTags" ma:readOnly="true">
      <xsd:simpleType>
        <xsd:restriction base="dms:Text"/>
      </xsd:simpleType>
    </xsd:element>
    <xsd:element name="MediaServiceOCR" ma:index="14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5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6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7" nillable="true" ma:displayName="MediaServiceDateTaken" ma:hidden="true" ma:internalName="MediaServiceDateTaken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4985304-bb04-4dd0-a6a0-67769ccc94cc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공유 대상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세부 정보 공유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2" nillable="true" ma:displayName="힌트 해시 공유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콘텐츠 형식"/>
        <xsd:element ref="dc:title" minOccurs="0" maxOccurs="1" ma:index="4" ma:displayName="제목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4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B196490C-8848-418D-8902-2FE09B240009}">
  <ds:schemaRefs>
    <ds:schemaRef ds:uri="http://schemas.microsoft.com/DataMashup"/>
  </ds:schemaRefs>
</ds:datastoreItem>
</file>

<file path=customXml/itemProps2.xml><?xml version="1.0" encoding="utf-8"?>
<ds:datastoreItem xmlns:ds="http://schemas.openxmlformats.org/officeDocument/2006/customXml" ds:itemID="{5C693E58-9964-4819-9E61-091168555BF7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08beb39c-d47e-459b-8a94-037c880b1aac"/>
    <ds:schemaRef ds:uri="64985304-bb04-4dd0-a6a0-67769ccc94cc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3423A275-7C95-46A6-87B9-517100A97EE2}">
  <ds:schemaRefs>
    <ds:schemaRef ds:uri="http://schemas.microsoft.com/office/infopath/2007/PartnerControls"/>
    <ds:schemaRef ds:uri="http://schemas.microsoft.com/office/2006/metadata/properties"/>
    <ds:schemaRef ds:uri="http://www.w3.org/XML/1998/namespace"/>
    <ds:schemaRef ds:uri="http://purl.org/dc/dcmitype/"/>
    <ds:schemaRef ds:uri="http://schemas.microsoft.com/office/2006/documentManagement/types"/>
    <ds:schemaRef ds:uri="64985304-bb04-4dd0-a6a0-67769ccc94cc"/>
    <ds:schemaRef ds:uri="http://schemas.openxmlformats.org/package/2006/metadata/core-properties"/>
    <ds:schemaRef ds:uri="08beb39c-d47e-459b-8a94-037c880b1aac"/>
    <ds:schemaRef ds:uri="http://purl.org/dc/elements/1.1/"/>
    <ds:schemaRef ds:uri="http://purl.org/dc/terms/"/>
  </ds:schemaRefs>
</ds:datastoreItem>
</file>

<file path=customXml/itemProps4.xml><?xml version="1.0" encoding="utf-8"?>
<ds:datastoreItem xmlns:ds="http://schemas.openxmlformats.org/officeDocument/2006/customXml" ds:itemID="{9B6ED5C0-13B0-4084-AB95-81174C8E1580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4</vt:i4>
      </vt:variant>
    </vt:vector>
  </HeadingPairs>
  <TitlesOfParts>
    <vt:vector size="4" baseType="lpstr">
      <vt:lpstr>해답 보고서 1</vt:lpstr>
      <vt:lpstr>한계값 보고서 1</vt:lpstr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예찬</dc:creator>
  <cp:lastModifiedBy>예찬</cp:lastModifiedBy>
  <dcterms:created xsi:type="dcterms:W3CDTF">2021-01-01T12:23:51Z</dcterms:created>
  <dcterms:modified xsi:type="dcterms:W3CDTF">2021-06-26T12:21:55Z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0x01010080F6E81E16853C408C8E5AE57EFB110B</vt:lpwstr>
  </property>
</Properties>
</file>