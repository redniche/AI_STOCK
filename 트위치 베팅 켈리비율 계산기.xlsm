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gnuackr0-my.sharepoint.com/personal/redniche_gnu_ac_kr/Documents/"/>
    </mc:Choice>
  </mc:AlternateContent>
  <xr:revisionPtr revIDLastSave="1015" documentId="8_{F8BB567C-9702-494A-80DE-09064FB53B04}" xr6:coauthVersionLast="47" xr6:coauthVersionMax="47" xr10:uidLastSave="{E7BDE0E1-3686-4CCD-A19E-806D2D9BE0D1}"/>
  <bookViews>
    <workbookView xWindow="-24540" yWindow="315" windowWidth="24150" windowHeight="13725" firstSheet="2" activeTab="2" xr2:uid="{CBF47A55-642C-42A2-9279-C526B8F3AF89}"/>
  </bookViews>
  <sheets>
    <sheet name="해답 보고서 1" sheetId="2" r:id="rId1"/>
    <sheet name="한계값 보고서 1" sheetId="3" r:id="rId2"/>
    <sheet name="Sheet1" sheetId="1" r:id="rId3"/>
    <sheet name="Sheet2" sheetId="6" r:id="rId4"/>
  </sheets>
  <functionGroups builtInGroupCount="19"/>
  <definedNames>
    <definedName name="solver_adj" localSheetId="2" hidden="1">Sheet1!$A$13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Sheet1!$A$13</definedName>
    <definedName name="solver_lhs2" localSheetId="2" hidden="1">Sheet1!$A$13</definedName>
    <definedName name="solver_lhs3" localSheetId="2" hidden="1">Sheet1!$A$5</definedName>
    <definedName name="solver_lhs4" localSheetId="2" hidden="1">Sheet1!$A$5</definedName>
    <definedName name="solver_mip" localSheetId="2" hidden="1">2147483647</definedName>
    <definedName name="solver_mni" localSheetId="2" hidden="1">30</definedName>
    <definedName name="solver_mrt" localSheetId="2" hidden="1">0.5</definedName>
    <definedName name="solver_msl" localSheetId="2" hidden="1">1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Sheet1!$F$15</definedName>
    <definedName name="solver_pre" localSheetId="2" hidden="1">0.000001</definedName>
    <definedName name="solver_rbv" localSheetId="2" hidden="1">2</definedName>
    <definedName name="solver_rel1" localSheetId="2" hidden="1">3</definedName>
    <definedName name="solver_rel2" localSheetId="2" hidden="1">4</definedName>
    <definedName name="solver_rel3" localSheetId="2" hidden="1">3</definedName>
    <definedName name="solver_rel4" localSheetId="2" hidden="1">3</definedName>
    <definedName name="solver_rhs1" localSheetId="2" hidden="1">1</definedName>
    <definedName name="solver_rhs2" localSheetId="2" hidden="1">정수</definedName>
    <definedName name="solver_rhs3" localSheetId="2" hidden="1">1</definedName>
    <definedName name="solver_rhs4" localSheetId="2" hidden="1">1</definedName>
    <definedName name="solver_rlx" localSheetId="2" hidden="1">1</definedName>
    <definedName name="solver_rsd" localSheetId="2" hidden="1">10000</definedName>
    <definedName name="solver_scl" localSheetId="2" hidden="1">1</definedName>
    <definedName name="solver_sho" localSheetId="2" hidden="1">2</definedName>
    <definedName name="solver_sho" localSheetId="1" hidden="1">2</definedName>
    <definedName name="solver_ssz" localSheetId="2" hidden="1">10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/>
  <c r="G16" i="1" s="1"/>
  <c r="G7" i="1"/>
  <c r="D10" i="1"/>
  <c r="E10" i="1" s="1"/>
  <c r="D8" i="1"/>
  <c r="B10" i="1"/>
  <c r="B15" i="1" s="1"/>
  <c r="C2" i="1"/>
  <c r="B5" i="1" s="1"/>
  <c r="F24" i="1"/>
  <c r="F7" i="1" l="1"/>
  <c r="F6" i="1"/>
  <c r="G2" i="1"/>
  <c r="E11" i="1" l="1"/>
  <c r="A8" i="1"/>
  <c r="C7" i="1"/>
  <c r="D7" i="1" s="1"/>
  <c r="E7" i="1" s="1"/>
  <c r="D11" i="1" s="1"/>
  <c r="C5" i="1"/>
  <c r="E12" i="1" l="1"/>
  <c r="F12" i="1"/>
  <c r="F11" i="1" s="1"/>
  <c r="C8" i="1"/>
  <c r="B8" i="1" s="1"/>
  <c r="E8" i="1"/>
  <c r="D9" i="1" l="1"/>
  <c r="E9" i="1" s="1"/>
  <c r="A10" i="1"/>
  <c r="E20" i="1" l="1"/>
  <c r="D20" i="1" s="1"/>
  <c r="F20" i="1" s="1"/>
  <c r="C10" i="1"/>
  <c r="F15" i="1" l="1"/>
  <c r="F16" i="1"/>
  <c r="B13" i="1"/>
  <c r="D21" i="1" l="1"/>
  <c r="A16" i="1"/>
  <c r="C15" i="1"/>
  <c r="D15" i="1" s="1"/>
  <c r="C16" i="1" s="1"/>
  <c r="B17" i="1" s="1"/>
  <c r="D17" i="1" s="1"/>
  <c r="C17" i="1" s="1"/>
  <c r="E18" i="1" s="1"/>
  <c r="C13" i="1"/>
  <c r="E15" i="1" l="1"/>
  <c r="E21" i="1" s="1"/>
  <c r="F2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D084EB-8CD2-4C4F-B41C-565A6FF416E1}" keepAlive="1" name="쿼리 - 랭크 캐릭터 통계 (공식 API 연동)" description="통합 문서의 '랭크 캐릭터 통계 (공식 API 연동)' 쿼리에 대한 연결입니다." type="5" refreshedVersion="6" background="1">
    <dbPr connection="Provider=Microsoft.Mashup.OleDb.1;Data Source=$Workbook$;Location=&quot;랭크 캐릭터 통계 (공식 API 연동)&quot;;Extended Properties=&quot;&quot;" command="SELECT * FROM [랭크 캐릭터 통계 (공식 API 연동)]"/>
  </connection>
</connections>
</file>

<file path=xl/sharedStrings.xml><?xml version="1.0" encoding="utf-8"?>
<sst xmlns="http://schemas.openxmlformats.org/spreadsheetml/2006/main" count="93" uniqueCount="64">
  <si>
    <t>이길확률</t>
    <phoneticPr fontId="1" type="noConversion"/>
  </si>
  <si>
    <t>켈리비율</t>
    <phoneticPr fontId="1" type="noConversion"/>
  </si>
  <si>
    <t>내 돈</t>
    <phoneticPr fontId="1" type="noConversion"/>
  </si>
  <si>
    <t>켈리비율 걸 값</t>
    <phoneticPr fontId="1" type="noConversion"/>
  </si>
  <si>
    <t>얻을 수 있는 돈</t>
    <phoneticPr fontId="1" type="noConversion"/>
  </si>
  <si>
    <t>배당(자동계산)</t>
    <phoneticPr fontId="1" type="noConversion"/>
  </si>
  <si>
    <t>4등이내</t>
    <phoneticPr fontId="1" type="noConversion"/>
  </si>
  <si>
    <t>전체</t>
    <phoneticPr fontId="1" type="noConversion"/>
  </si>
  <si>
    <t>배당변동값</t>
    <phoneticPr fontId="1" type="noConversion"/>
  </si>
  <si>
    <t>포인트수치</t>
    <phoneticPr fontId="1" type="noConversion"/>
  </si>
  <si>
    <t>포인트수치(만)</t>
    <phoneticPr fontId="1" type="noConversion"/>
  </si>
  <si>
    <t>포인트변화</t>
    <phoneticPr fontId="1" type="noConversion"/>
  </si>
  <si>
    <t>실얻는돈</t>
    <phoneticPr fontId="1" type="noConversion"/>
  </si>
  <si>
    <t>auto 포인트 도박 기능</t>
    <phoneticPr fontId="1" type="noConversion"/>
  </si>
  <si>
    <t>체크박스로 오토모드 지정가능</t>
    <phoneticPr fontId="1" type="noConversion"/>
  </si>
  <si>
    <t>텍스트박스에 숫자 집어넣고</t>
    <phoneticPr fontId="1" type="noConversion"/>
  </si>
  <si>
    <t>변동값포함</t>
    <phoneticPr fontId="1" type="noConversion"/>
  </si>
  <si>
    <t>5판 지고 난 후 확률</t>
    <phoneticPr fontId="1" type="noConversion"/>
  </si>
  <si>
    <t>변동값재검토</t>
    <phoneticPr fontId="1" type="noConversion"/>
  </si>
  <si>
    <t>5/50</t>
    <phoneticPr fontId="1" type="noConversion"/>
  </si>
  <si>
    <t>최대수익켈리비율값</t>
    <phoneticPr fontId="1" type="noConversion"/>
  </si>
  <si>
    <t>Microsoft Excel 16.0 해답 보고서</t>
  </si>
  <si>
    <t>워크시트 이름: [켈리비율 계산기.xlsx]Sheet1</t>
  </si>
  <si>
    <t>보고서 작성일: 2021-01-09 오전 5:13:32</t>
  </si>
  <si>
    <t>결과: 모든 제한 조건을 만족시키는 해에 수렴했습니다.</t>
  </si>
  <si>
    <t>해 찾기 엔진</t>
  </si>
  <si>
    <t>엔진: GRG 비선형</t>
  </si>
  <si>
    <t>해 찾는 시간: 0.172 초.</t>
  </si>
  <si>
    <t>반복 횟수: 10 부분 문제: 0</t>
  </si>
  <si>
    <t>해 찾기 옵션</t>
  </si>
  <si>
    <t>최대 시간 제한 없음,  반복 횟수 제한 없음, Precision 0.000001</t>
  </si>
  <si>
    <t xml:space="preserve"> 수렴도 0.0001, 모집단 크기 100, 임의 초기값 0, 미분 계수 중앙</t>
  </si>
  <si>
    <t>최대 부분 문제 제한 없음, 최대 정수 해 제한 없음, 정수 허용 한도 1%, 음수 아닌 것으로 가정</t>
  </si>
  <si>
    <t>목표 셀 (최대값)</t>
  </si>
  <si>
    <t>셀</t>
  </si>
  <si>
    <t>이름</t>
  </si>
  <si>
    <t>계산 전의 값</t>
  </si>
  <si>
    <t>계산 값</t>
  </si>
  <si>
    <t>변수 셀</t>
  </si>
  <si>
    <t>정수</t>
  </si>
  <si>
    <t>제한 조건</t>
  </si>
  <si>
    <t>없음</t>
  </si>
  <si>
    <t>$F$6</t>
  </si>
  <si>
    <t>실얻는돈 최대수익켈리비율값</t>
  </si>
  <si>
    <t>$A$5</t>
  </si>
  <si>
    <t>내 돈</t>
  </si>
  <si>
    <t>Contin</t>
  </si>
  <si>
    <t>Microsoft Excel 16.0 한계값 보고서</t>
  </si>
  <si>
    <t>목표 셀</t>
  </si>
  <si>
    <t>값</t>
  </si>
  <si>
    <t>변수</t>
  </si>
  <si>
    <t>하한값</t>
  </si>
  <si>
    <t>한계값</t>
  </si>
  <si>
    <t>결과</t>
  </si>
  <si>
    <t>상한값</t>
  </si>
  <si>
    <t>배당</t>
    <phoneticPr fontId="1" type="noConversion"/>
  </si>
  <si>
    <t>chanbae15</t>
    <phoneticPr fontId="1" type="noConversion"/>
  </si>
  <si>
    <t>∞ 채널 포인트</t>
    <phoneticPr fontId="1" type="noConversion"/>
  </si>
  <si>
    <t>스트리머ID</t>
    <phoneticPr fontId="1" type="noConversion"/>
  </si>
  <si>
    <t>마감시간(~초 전)</t>
    <phoneticPr fontId="1" type="noConversion"/>
  </si>
  <si>
    <t>내ID</t>
    <phoneticPr fontId="1" type="noConversion"/>
  </si>
  <si>
    <t>비번</t>
    <phoneticPr fontId="1" type="noConversion"/>
  </si>
  <si>
    <t>niche3290</t>
    <phoneticPr fontId="1" type="noConversion"/>
  </si>
  <si>
    <t>hanryang1125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</si>
</sst>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m&quot;월&quot;\ dd&quot;일&quot;"/>
    <numFmt numFmtId="177" formatCode="0_ "/>
    <numFmt numFmtId="178" formatCode="0_);[Red]\(0\)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5" xfId="0" applyFill="1" applyBorder="1" applyAlignment="1">
      <alignment vertical="center"/>
    </xf>
    <xf numFmtId="0" fontId="3" fillId="0" borderId="4" xfId="0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vertical="center"/>
    </xf>
    <xf numFmtId="0" fontId="3" fillId="0" borderId="4" xfId="0" applyFont="1" applyFill="1" applyBorder="1" applyAlignment="1">
      <alignment horizontal="centerContinuous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3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13</xdr:row>
      <xdr:rowOff>9525</xdr:rowOff>
    </xdr:from>
    <xdr:to>
      <xdr:col>6</xdr:col>
      <xdr:colOff>742950</xdr:colOff>
      <xdr:row>14</xdr:row>
      <xdr:rowOff>152400</xdr:rowOff>
    </xdr:to>
    <xdr:sp macro="[0]!최적해찾기2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FFA95EBC-571E-4E2B-A0AA-8C6540176294}"/>
            </a:ext>
          </a:extLst>
        </xdr:cNvPr>
        <xdr:cNvSpPr/>
      </xdr:nvSpPr>
      <xdr:spPr>
        <a:xfrm>
          <a:off x="8181975" y="2733675"/>
          <a:ext cx="63817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해찾기</a:t>
          </a:r>
        </a:p>
      </xdr:txBody>
    </xdr:sp>
    <xdr:clientData/>
  </xdr:twoCellAnchor>
  <xdr:twoCellAnchor>
    <xdr:from>
      <xdr:col>6</xdr:col>
      <xdr:colOff>38100</xdr:colOff>
      <xdr:row>4</xdr:row>
      <xdr:rowOff>28575</xdr:rowOff>
    </xdr:from>
    <xdr:to>
      <xdr:col>6</xdr:col>
      <xdr:colOff>676275</xdr:colOff>
      <xdr:row>5</xdr:row>
      <xdr:rowOff>171450</xdr:rowOff>
    </xdr:to>
    <xdr:sp macro="[0]!최적해찾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BD776028-429B-4915-8F4F-935CDBD1EF6E}"/>
            </a:ext>
          </a:extLst>
        </xdr:cNvPr>
        <xdr:cNvSpPr/>
      </xdr:nvSpPr>
      <xdr:spPr>
        <a:xfrm>
          <a:off x="8115300" y="866775"/>
          <a:ext cx="63817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해찾기</a:t>
          </a:r>
        </a:p>
      </xdr:txBody>
    </xdr:sp>
    <xdr:clientData/>
  </xdr:twoCellAnchor>
  <xdr:twoCellAnchor>
    <xdr:from>
      <xdr:col>1</xdr:col>
      <xdr:colOff>504824</xdr:colOff>
      <xdr:row>22</xdr:row>
      <xdr:rowOff>180975</xdr:rowOff>
    </xdr:from>
    <xdr:to>
      <xdr:col>1</xdr:col>
      <xdr:colOff>1885950</xdr:colOff>
      <xdr:row>25</xdr:row>
      <xdr:rowOff>200025</xdr:rowOff>
    </xdr:to>
    <xdr:sp macro="[0]!mai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C44E4E5-C1D9-481C-AB26-0F5421F575E5}"/>
            </a:ext>
          </a:extLst>
        </xdr:cNvPr>
        <xdr:cNvSpPr/>
      </xdr:nvSpPr>
      <xdr:spPr>
        <a:xfrm>
          <a:off x="1819274" y="4791075"/>
          <a:ext cx="1381126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다음 베팅 자동으로 하기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609600</xdr:colOff>
      <xdr:row>4</xdr:row>
      <xdr:rowOff>161925</xdr:rowOff>
    </xdr:from>
    <xdr:to>
      <xdr:col>4</xdr:col>
      <xdr:colOff>47625</xdr:colOff>
      <xdr:row>7</xdr:row>
      <xdr:rowOff>104775</xdr:rowOff>
    </xdr:to>
    <xdr:sp macro="[0]!Sheet6.login" textlink="">
      <xdr:nvSpPr>
        <xdr:cNvPr id="2" name="직사각형 1">
          <a:extLst>
            <a:ext uri="{FF2B5EF4-FFF2-40B4-BE49-F238E27FC236}">
              <a16:creationId xmlns:a16="http://schemas.microsoft.com/office/drawing/2014/main" id="{C98873C1-EE7C-4AF0-9477-425766270FF5}"/>
            </a:ext>
          </a:extLst>
        </xdr:cNvPr>
        <xdr:cNvSpPr/>
      </xdr:nvSpPr>
      <xdr:spPr>
        <a:xfrm>
          <a:off x="1981200" y="1000125"/>
          <a:ext cx="809625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C82E0-97E7-4DCE-BA31-2E5F05CF514A}">
  <sheetPr codeName="Sheet2"/>
  <dimension ref="A1:G25"/>
  <sheetViews>
    <sheetView showGridLines="0" workbookViewId="0"/>
  </sheetViews>
  <sheetFormatPr defaultRowHeight="16.5" x14ac:dyDescent="0.3"/>
  <cols>
    <col min="1" max="1" width="2.125" customWidth="1"/>
    <col min="2" max="2" width="3.375" bestFit="1" customWidth="1"/>
    <col min="3" max="3" width="28.25" bestFit="1" customWidth="1"/>
    <col min="4" max="5" width="12.75" bestFit="1" customWidth="1"/>
    <col min="6" max="6" width="7.25" bestFit="1" customWidth="1"/>
  </cols>
  <sheetData>
    <row r="1" spans="1:5" x14ac:dyDescent="0.3">
      <c r="A1" s="6" t="s">
        <v>21</v>
      </c>
    </row>
    <row r="2" spans="1:5" x14ac:dyDescent="0.3">
      <c r="A2" s="6" t="s">
        <v>22</v>
      </c>
    </row>
    <row r="3" spans="1:5" x14ac:dyDescent="0.3">
      <c r="A3" s="6" t="s">
        <v>23</v>
      </c>
    </row>
    <row r="4" spans="1:5" x14ac:dyDescent="0.3">
      <c r="A4" s="6" t="s">
        <v>24</v>
      </c>
    </row>
    <row r="5" spans="1:5" x14ac:dyDescent="0.3">
      <c r="A5" s="6" t="s">
        <v>25</v>
      </c>
    </row>
    <row r="6" spans="1:5" x14ac:dyDescent="0.3">
      <c r="A6" s="6"/>
      <c r="B6" t="s">
        <v>26</v>
      </c>
    </row>
    <row r="7" spans="1:5" x14ac:dyDescent="0.3">
      <c r="A7" s="6"/>
      <c r="B7" t="s">
        <v>27</v>
      </c>
    </row>
    <row r="8" spans="1:5" x14ac:dyDescent="0.3">
      <c r="A8" s="6"/>
      <c r="B8" t="s">
        <v>28</v>
      </c>
    </row>
    <row r="9" spans="1:5" x14ac:dyDescent="0.3">
      <c r="A9" s="6" t="s">
        <v>29</v>
      </c>
    </row>
    <row r="10" spans="1:5" x14ac:dyDescent="0.3">
      <c r="B10" t="s">
        <v>30</v>
      </c>
    </row>
    <row r="11" spans="1:5" x14ac:dyDescent="0.3">
      <c r="B11" t="s">
        <v>31</v>
      </c>
    </row>
    <row r="12" spans="1:5" x14ac:dyDescent="0.3">
      <c r="B12" t="s">
        <v>32</v>
      </c>
    </row>
    <row r="14" spans="1:5" ht="17.25" thickBot="1" x14ac:dyDescent="0.35">
      <c r="A14" t="s">
        <v>33</v>
      </c>
    </row>
    <row r="15" spans="1:5" ht="17.25" thickBot="1" x14ac:dyDescent="0.35">
      <c r="B15" s="8" t="s">
        <v>34</v>
      </c>
      <c r="C15" s="8" t="s">
        <v>35</v>
      </c>
      <c r="D15" s="8" t="s">
        <v>36</v>
      </c>
      <c r="E15" s="8" t="s">
        <v>37</v>
      </c>
    </row>
    <row r="16" spans="1:5" ht="17.25" thickBot="1" x14ac:dyDescent="0.35">
      <c r="B16" s="7" t="s">
        <v>42</v>
      </c>
      <c r="C16" s="7" t="s">
        <v>43</v>
      </c>
      <c r="D16" s="9">
        <v>1033.8461538461434</v>
      </c>
      <c r="E16" s="9">
        <v>1041.9714590219246</v>
      </c>
    </row>
    <row r="19" spans="1:7" ht="17.25" thickBot="1" x14ac:dyDescent="0.35">
      <c r="A19" t="s">
        <v>38</v>
      </c>
    </row>
    <row r="20" spans="1:7" ht="17.25" thickBot="1" x14ac:dyDescent="0.35">
      <c r="B20" s="8" t="s">
        <v>34</v>
      </c>
      <c r="C20" s="8" t="s">
        <v>35</v>
      </c>
      <c r="D20" s="8" t="s">
        <v>36</v>
      </c>
      <c r="E20" s="8" t="s">
        <v>37</v>
      </c>
      <c r="F20" s="8" t="s">
        <v>39</v>
      </c>
    </row>
    <row r="21" spans="1:7" ht="17.25" thickBot="1" x14ac:dyDescent="0.35">
      <c r="B21" s="7" t="s">
        <v>44</v>
      </c>
      <c r="C21" s="7" t="s">
        <v>45</v>
      </c>
      <c r="D21" s="9">
        <v>10000</v>
      </c>
      <c r="E21" s="9">
        <v>9991.8746948242188</v>
      </c>
      <c r="F21" s="7" t="s">
        <v>46</v>
      </c>
    </row>
    <row r="24" spans="1:7" ht="17.25" thickBot="1" x14ac:dyDescent="0.35">
      <c r="A24" t="s">
        <v>40</v>
      </c>
    </row>
    <row r="25" spans="1:7" ht="17.25" thickBot="1" x14ac:dyDescent="0.35">
      <c r="B25" s="10" t="s">
        <v>41</v>
      </c>
      <c r="C25" s="10"/>
      <c r="D25" s="10"/>
      <c r="E25" s="10"/>
      <c r="F25" s="10"/>
      <c r="G25" s="10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1DB41-3BEA-4306-AA39-1366DB7384B8}">
  <sheetPr codeName="Sheet3"/>
  <dimension ref="A1:J13"/>
  <sheetViews>
    <sheetView showGridLines="0" workbookViewId="0">
      <selection sqref="A1:A3"/>
    </sheetView>
  </sheetViews>
  <sheetFormatPr defaultRowHeight="16.5" x14ac:dyDescent="0.3"/>
  <cols>
    <col min="1" max="1" width="2.125" customWidth="1"/>
    <col min="2" max="2" width="3.375" bestFit="1" customWidth="1"/>
    <col min="3" max="3" width="5.25" bestFit="1" customWidth="1"/>
    <col min="4" max="4" width="5.5" bestFit="1" customWidth="1"/>
    <col min="5" max="5" width="2.125" customWidth="1"/>
    <col min="6" max="6" width="7.125" bestFit="1" customWidth="1"/>
    <col min="7" max="7" width="8" bestFit="1" customWidth="1"/>
    <col min="8" max="8" width="2.125" customWidth="1"/>
    <col min="9" max="9" width="7.125" bestFit="1" customWidth="1"/>
    <col min="10" max="10" width="7.75" bestFit="1" customWidth="1"/>
  </cols>
  <sheetData>
    <row r="1" spans="1:10" x14ac:dyDescent="0.3">
      <c r="A1" s="6" t="s">
        <v>47</v>
      </c>
    </row>
    <row r="2" spans="1:10" x14ac:dyDescent="0.3">
      <c r="A2" s="6" t="s">
        <v>22</v>
      </c>
    </row>
    <row r="3" spans="1:10" x14ac:dyDescent="0.3">
      <c r="A3" s="6" t="s">
        <v>23</v>
      </c>
    </row>
    <row r="5" spans="1:10" ht="17.25" thickBot="1" x14ac:dyDescent="0.35"/>
    <row r="6" spans="1:10" x14ac:dyDescent="0.3">
      <c r="B6" s="11"/>
      <c r="C6" s="11" t="s">
        <v>48</v>
      </c>
      <c r="D6" s="11"/>
    </row>
    <row r="7" spans="1:10" ht="17.25" thickBot="1" x14ac:dyDescent="0.35">
      <c r="B7" s="12" t="s">
        <v>34</v>
      </c>
      <c r="C7" s="13" t="s">
        <v>35</v>
      </c>
      <c r="D7" s="12" t="s">
        <v>49</v>
      </c>
    </row>
    <row r="8" spans="1:10" ht="17.25" thickBot="1" x14ac:dyDescent="0.35">
      <c r="B8" s="7" t="s">
        <v>42</v>
      </c>
      <c r="C8" s="7" t="s">
        <v>43</v>
      </c>
      <c r="D8" s="9">
        <v>1041.9714590219246</v>
      </c>
    </row>
    <row r="10" spans="1:10" ht="17.25" thickBot="1" x14ac:dyDescent="0.35"/>
    <row r="11" spans="1:10" x14ac:dyDescent="0.3">
      <c r="B11" s="11"/>
      <c r="C11" s="11" t="s">
        <v>50</v>
      </c>
      <c r="D11" s="11"/>
      <c r="F11" s="11" t="s">
        <v>51</v>
      </c>
      <c r="G11" s="11" t="s">
        <v>48</v>
      </c>
      <c r="I11" s="11" t="s">
        <v>54</v>
      </c>
      <c r="J11" s="11" t="s">
        <v>48</v>
      </c>
    </row>
    <row r="12" spans="1:10" ht="17.25" thickBot="1" x14ac:dyDescent="0.35">
      <c r="B12" s="12" t="s">
        <v>34</v>
      </c>
      <c r="C12" s="13" t="s">
        <v>35</v>
      </c>
      <c r="D12" s="12" t="s">
        <v>49</v>
      </c>
      <c r="F12" s="13" t="s">
        <v>52</v>
      </c>
      <c r="G12" s="13" t="s">
        <v>53</v>
      </c>
      <c r="I12" s="13" t="s">
        <v>52</v>
      </c>
      <c r="J12" s="13" t="s">
        <v>53</v>
      </c>
    </row>
    <row r="13" spans="1:10" ht="17.25" thickBot="1" x14ac:dyDescent="0.35">
      <c r="B13" s="7" t="s">
        <v>44</v>
      </c>
      <c r="C13" s="7" t="s">
        <v>45</v>
      </c>
      <c r="D13" s="9">
        <v>9991.8746948242188</v>
      </c>
      <c r="F13" s="9">
        <v>0</v>
      </c>
      <c r="G13" s="9" t="e">
        <v>#DIV/0!</v>
      </c>
      <c r="I13" s="7" t="e">
        <v>#N/A</v>
      </c>
      <c r="J13" s="7" t="e">
        <v>#N/A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2D34D-9A3C-4216-8854-60D3D722573C}">
  <sheetPr codeName="Sheet1"/>
  <dimension ref="A1:J24"/>
  <sheetViews>
    <sheetView tabSelected="1" workbookViewId="0">
      <selection activeCell="A3" sqref="A3"/>
    </sheetView>
  </sheetViews>
  <sheetFormatPr defaultRowHeight="16.5" x14ac:dyDescent="0.3"/>
  <cols>
    <col min="1" max="1" width="17.25" bestFit="1" customWidth="1"/>
    <col min="2" max="2" width="29" bestFit="1" customWidth="1"/>
    <col min="3" max="3" width="15.125" bestFit="1" customWidth="1"/>
    <col min="4" max="4" width="12.75" bestFit="1" customWidth="1"/>
    <col min="5" max="5" width="17.125" customWidth="1"/>
    <col min="6" max="6" width="19.25" bestFit="1" customWidth="1"/>
    <col min="7" max="7" width="12.75" bestFit="1" customWidth="1"/>
    <col min="9" max="9" width="12.75" bestFit="1" customWidth="1"/>
    <col min="10" max="10" width="15" customWidth="1"/>
  </cols>
  <sheetData>
    <row r="1" spans="1:10" x14ac:dyDescent="0.3">
      <c r="A1" t="s">
        <v>0</v>
      </c>
      <c r="B1" t="s">
        <v>55</v>
      </c>
      <c r="C1" t="s">
        <v>1</v>
      </c>
    </row>
    <row r="2" spans="1:10" x14ac:dyDescent="0.3">
      <c r="A2" s="2">
        <v>0.7</v>
      </c>
      <c r="B2" s="2">
        <v>11.01</v>
      </c>
      <c r="C2">
        <f>(A2*((B2-1)+1)-1)/(B2-1)</f>
        <v>0.67002997002996989</v>
      </c>
      <c r="D2" s="5"/>
      <c r="F2" t="s">
        <v>17</v>
      </c>
      <c r="G2">
        <f>7/20</f>
        <v>0.35</v>
      </c>
      <c r="I2" t="s">
        <v>58</v>
      </c>
      <c r="J2" t="s">
        <v>59</v>
      </c>
    </row>
    <row r="3" spans="1:10" x14ac:dyDescent="0.3">
      <c r="D3" t="s">
        <v>6</v>
      </c>
      <c r="F3">
        <v>0.27</v>
      </c>
      <c r="I3" t="s">
        <v>63</v>
      </c>
      <c r="J3">
        <v>4</v>
      </c>
    </row>
    <row r="4" spans="1:10" x14ac:dyDescent="0.3">
      <c r="A4" t="s">
        <v>2</v>
      </c>
      <c r="B4" t="s">
        <v>3</v>
      </c>
      <c r="C4" t="s">
        <v>4</v>
      </c>
      <c r="D4" t="s">
        <v>7</v>
      </c>
    </row>
    <row r="5" spans="1:10" x14ac:dyDescent="0.3">
      <c r="A5" s="2">
        <v>83349</v>
      </c>
      <c r="B5" s="1">
        <f>INT(A5*C2)</f>
        <v>55846</v>
      </c>
      <c r="C5">
        <f>INT(B2*B5)+1-B5</f>
        <v>559019</v>
      </c>
      <c r="F5" t="s">
        <v>20</v>
      </c>
      <c r="I5" t="s">
        <v>60</v>
      </c>
      <c r="J5" t="s">
        <v>61</v>
      </c>
    </row>
    <row r="6" spans="1:10" x14ac:dyDescent="0.3">
      <c r="A6" s="1"/>
      <c r="B6" t="s">
        <v>9</v>
      </c>
      <c r="C6" t="s">
        <v>11</v>
      </c>
      <c r="D6" t="s">
        <v>8</v>
      </c>
      <c r="E6" t="s">
        <v>12</v>
      </c>
      <c r="F6">
        <f>(C2*A5*B15/(B7+C2*A5)*A2)/((1-A2)*C2*A5)*A5-A5</f>
        <v>1783456.2558746317</v>
      </c>
      <c r="I6" s="17" t="s">
        <v>56</v>
      </c>
      <c r="J6" t="s">
        <v>62</v>
      </c>
    </row>
    <row r="7" spans="1:10" x14ac:dyDescent="0.3">
      <c r="A7" s="14">
        <v>27232</v>
      </c>
      <c r="B7" s="2">
        <v>1304000</v>
      </c>
      <c r="C7" s="3">
        <f>B7+B5</f>
        <v>1359846</v>
      </c>
      <c r="D7" s="3">
        <f>B15/C7+1</f>
        <v>10.598910464861461</v>
      </c>
      <c r="E7" s="3">
        <f>INT(B5*(D7-1))+1</f>
        <v>536061</v>
      </c>
      <c r="F7">
        <f>(C2*G7*B15/(B7+C2*G7)*A2)/((1-A2)*C2*G7)*G7-G7</f>
        <v>1785503.9131700324</v>
      </c>
      <c r="G7" s="1">
        <f>A5+100</f>
        <v>83449</v>
      </c>
    </row>
    <row r="8" spans="1:10" x14ac:dyDescent="0.3">
      <c r="A8">
        <f>B5-A7</f>
        <v>28614</v>
      </c>
      <c r="B8" s="1">
        <f>INT(A5*C8)</f>
        <v>55739</v>
      </c>
      <c r="C8">
        <f>(A2*(D7-1+1)-1)/(D7-1)</f>
        <v>0.66874645293356949</v>
      </c>
      <c r="D8">
        <f>1/A2</f>
        <v>1.4285714285714286</v>
      </c>
      <c r="E8">
        <f>E7/B5</f>
        <v>9.5989148730437268</v>
      </c>
    </row>
    <row r="9" spans="1:10" x14ac:dyDescent="0.3">
      <c r="A9" t="s">
        <v>0</v>
      </c>
      <c r="B9" t="s">
        <v>5</v>
      </c>
      <c r="C9" t="s">
        <v>1</v>
      </c>
      <c r="D9">
        <f>B15/(B7+B8)+1</f>
        <v>10.599665818219526</v>
      </c>
      <c r="E9" s="3">
        <f>INT(B8*D9)+1-B8</f>
        <v>535076</v>
      </c>
    </row>
    <row r="10" spans="1:10" x14ac:dyDescent="0.3">
      <c r="A10">
        <f>1-A2</f>
        <v>0.30000000000000004</v>
      </c>
      <c r="B10">
        <f>B2/(B2-1)</f>
        <v>1.0999000999000998</v>
      </c>
      <c r="C10">
        <f>(A10*((B10-1)+1)-1)/(B10-1)</f>
        <v>-6.7070000000000034</v>
      </c>
      <c r="D10">
        <f>A2*100</f>
        <v>70</v>
      </c>
      <c r="E10">
        <f>100-D10</f>
        <v>30</v>
      </c>
    </row>
    <row r="11" spans="1:10" x14ac:dyDescent="0.3">
      <c r="D11">
        <f>(E7)*D10</f>
        <v>37524270</v>
      </c>
      <c r="E11">
        <f>B5*E10</f>
        <v>1675380</v>
      </c>
      <c r="F11">
        <f>A5*F12</f>
        <v>1866806.5634244171</v>
      </c>
    </row>
    <row r="12" spans="1:10" x14ac:dyDescent="0.3">
      <c r="A12" t="s">
        <v>2</v>
      </c>
      <c r="B12" t="s">
        <v>3</v>
      </c>
      <c r="C12" t="s">
        <v>4</v>
      </c>
      <c r="E12">
        <f>D11-E11</f>
        <v>35848890</v>
      </c>
      <c r="F12">
        <f>D11/E11</f>
        <v>22.39746803710203</v>
      </c>
    </row>
    <row r="13" spans="1:10" x14ac:dyDescent="0.3">
      <c r="A13" s="2">
        <f>A5</f>
        <v>83349</v>
      </c>
      <c r="B13" s="1">
        <f>INT(A13*C10)</f>
        <v>-559022</v>
      </c>
      <c r="C13">
        <f>INT(B10*B13)+1-B13</f>
        <v>-55846</v>
      </c>
    </row>
    <row r="14" spans="1:10" x14ac:dyDescent="0.3">
      <c r="B14" t="s">
        <v>10</v>
      </c>
      <c r="C14" t="s">
        <v>11</v>
      </c>
      <c r="D14" t="s">
        <v>8</v>
      </c>
      <c r="E14" t="s">
        <v>12</v>
      </c>
      <c r="F14" t="s">
        <v>20</v>
      </c>
    </row>
    <row r="15" spans="1:10" x14ac:dyDescent="0.3">
      <c r="A15" s="14">
        <v>27232</v>
      </c>
      <c r="B15" s="4">
        <f>B2/B10*B7</f>
        <v>13053040</v>
      </c>
      <c r="C15" s="3">
        <f>B15+B13</f>
        <v>12494018</v>
      </c>
      <c r="D15" s="3">
        <f>B7/C15+1</f>
        <v>1.1043699472819712</v>
      </c>
      <c r="E15" s="3">
        <f>INT(B13*D15)+1-B13</f>
        <v>-58345</v>
      </c>
      <c r="F15">
        <f>(C10*A13*B7/(B15+C10*A13)*A10)/((1-A10)*C10*A13)*A13-A13</f>
        <v>-79620.801189829173</v>
      </c>
    </row>
    <row r="16" spans="1:10" x14ac:dyDescent="0.3">
      <c r="A16">
        <f>B13-A15</f>
        <v>-586254</v>
      </c>
      <c r="B16" t="s">
        <v>18</v>
      </c>
      <c r="C16">
        <f>(A10*((D15-1)+1)-1)/(D15-1)</f>
        <v>-6.4069115030674855</v>
      </c>
      <c r="D16" t="s">
        <v>16</v>
      </c>
      <c r="F16">
        <f>(C10*G16*B7/(B15+C10*G16)*A10)/((1-A10)*C10*G16)*G16-G16</f>
        <v>-79716.127805297016</v>
      </c>
      <c r="G16">
        <f>A13+100</f>
        <v>83449</v>
      </c>
    </row>
    <row r="17" spans="2:7" x14ac:dyDescent="0.3">
      <c r="B17" s="1">
        <f>INT(A13*C16)</f>
        <v>-534010</v>
      </c>
      <c r="C17">
        <f>D17+B15</f>
        <v>12506524</v>
      </c>
      <c r="D17">
        <f>INT(AVERAGE(B13,B17))</f>
        <v>-546516</v>
      </c>
    </row>
    <row r="18" spans="2:7" x14ac:dyDescent="0.3">
      <c r="B18" t="s">
        <v>13</v>
      </c>
      <c r="E18">
        <f>B7/C17+1</f>
        <v>1.1042655817075953</v>
      </c>
    </row>
    <row r="19" spans="2:7" x14ac:dyDescent="0.3">
      <c r="B19" t="s">
        <v>14</v>
      </c>
      <c r="G19" t="s">
        <v>19</v>
      </c>
    </row>
    <row r="20" spans="2:7" x14ac:dyDescent="0.3">
      <c r="B20" t="s">
        <v>15</v>
      </c>
      <c r="D20">
        <f>100-E20</f>
        <v>70</v>
      </c>
      <c r="E20">
        <f>A10*100</f>
        <v>30.000000000000004</v>
      </c>
      <c r="F20">
        <f>D20</f>
        <v>70</v>
      </c>
    </row>
    <row r="21" spans="2:7" x14ac:dyDescent="0.3">
      <c r="D21">
        <f>B13*D20</f>
        <v>-39131540</v>
      </c>
      <c r="E21">
        <f>E15*E20</f>
        <v>-1750350.0000000002</v>
      </c>
      <c r="F21">
        <f>B17*F20</f>
        <v>-37380700</v>
      </c>
    </row>
    <row r="24" spans="2:7" x14ac:dyDescent="0.3">
      <c r="F24">
        <f>(0.9*0.11-0.1*1)/(0.11*1)</f>
        <v>-9.0909090909090991E-3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AF26-63BC-4BCF-B852-FA8717AB49D4}">
  <sheetPr codeName="Sheet6"/>
  <dimension ref="A1:K5"/>
  <sheetViews>
    <sheetView workbookViewId="0">
      <selection activeCell="R15" sqref="R15"/>
    </sheetView>
  </sheetViews>
  <sheetFormatPr defaultRowHeight="16.5" x14ac:dyDescent="0.3"/>
  <cols>
    <col min="1" max="1" width="18.375" bestFit="1" customWidth="1"/>
    <col min="11" max="11" width="11.75" bestFit="1" customWidth="1"/>
  </cols>
  <sheetData>
    <row r="1" spans="1:11" x14ac:dyDescent="0.3">
      <c r="A1" s="15"/>
      <c r="B1" t="s">
        <v>56</v>
      </c>
    </row>
    <row r="2" spans="1:11" x14ac:dyDescent="0.3">
      <c r="A2" t="s">
        <v>57</v>
      </c>
    </row>
    <row r="3" spans="1:11" x14ac:dyDescent="0.3">
      <c r="A3" s="15"/>
    </row>
    <row r="5" spans="1:11" x14ac:dyDescent="0.3">
      <c r="K5" s="16">
        <v>7.6388888888888895E-2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80F6E81E16853C408C8E5AE57EFB110B" ma:contentTypeVersion="10" ma:contentTypeDescription="새 문서를 만듭니다." ma:contentTypeScope="" ma:versionID="984fc95a1b17bb38c53900be161f905f">
  <xsd:schema xmlns:xsd="http://www.w3.org/2001/XMLSchema" xmlns:xs="http://www.w3.org/2001/XMLSchema" xmlns:p="http://schemas.microsoft.com/office/2006/metadata/properties" xmlns:ns3="08beb39c-d47e-459b-8a94-037c880b1aac" xmlns:ns4="64985304-bb04-4dd0-a6a0-67769ccc94cc" targetNamespace="http://schemas.microsoft.com/office/2006/metadata/properties" ma:root="true" ma:fieldsID="9c3cdbd840269fb6f7a16dc8ec7681c6" ns3:_="" ns4:_="">
    <xsd:import namespace="08beb39c-d47e-459b-8a94-037c880b1aac"/>
    <xsd:import namespace="64985304-bb04-4dd0-a6a0-67769ccc94c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beb39c-d47e-459b-8a94-037c880b1a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985304-bb04-4dd0-a6a0-67769ccc94c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힌트 해시 공유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5C693E58-9964-4819-9E61-091168555B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beb39c-d47e-459b-8a94-037c880b1aac"/>
    <ds:schemaRef ds:uri="64985304-bb04-4dd0-a6a0-67769ccc94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23A275-7C95-46A6-87B9-517100A97EE2}">
  <ds:schemaRefs>
    <ds:schemaRef ds:uri="http://schemas.openxmlformats.org/package/2006/metadata/core-properties"/>
    <ds:schemaRef ds:uri="http://purl.org/dc/elements/1.1/"/>
    <ds:schemaRef ds:uri="08beb39c-d47e-459b-8a94-037c880b1aac"/>
    <ds:schemaRef ds:uri="http://schemas.microsoft.com/office/infopath/2007/PartnerControls"/>
    <ds:schemaRef ds:uri="http://purl.org/dc/dcmitype/"/>
    <ds:schemaRef ds:uri="http://purl.org/dc/terms/"/>
    <ds:schemaRef ds:uri="http://www.w3.org/XML/1998/namespace"/>
    <ds:schemaRef ds:uri="http://schemas.microsoft.com/office/2006/documentManagement/types"/>
    <ds:schemaRef ds:uri="64985304-bb04-4dd0-a6a0-67769ccc94c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9B6ED5C0-13B0-4084-AB95-81174C8E158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196490C-8848-418D-8902-2FE09B2400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해답 보고서 1</vt:lpstr>
      <vt:lpstr>한계값 보고서 1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예찬</dc:creator>
  <cp:lastModifiedBy>예 찬</cp:lastModifiedBy>
  <dcterms:created xsi:type="dcterms:W3CDTF">2021-01-01T12:23:51Z</dcterms:created>
  <dcterms:modified xsi:type="dcterms:W3CDTF">2021-06-22T02:55:02Z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0x01010080F6E81E16853C408C8E5AE57EFB110B</vt:lpwstr>
  </property>
</Properties>
</file>